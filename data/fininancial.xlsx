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58E0EFB-B038-49D4-9AB2-847B4AF6433B}" xr6:coauthVersionLast="47" xr6:coauthVersionMax="47" xr10:uidLastSave="{00000000-0000-0000-0000-000000000000}"/>
  <bookViews>
    <workbookView xWindow="-120" yWindow="-120" windowWidth="20730" windowHeight="11160" xr2:uid="{97F35CE7-D112-4AD8-B373-DD129124C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6" i="1"/>
  <c r="C20" i="1" l="1"/>
  <c r="D20" i="1"/>
  <c r="E20" i="1"/>
  <c r="B20" i="1"/>
  <c r="C8" i="1"/>
  <c r="D8" i="1"/>
  <c r="E8" i="1"/>
  <c r="B8" i="1"/>
  <c r="B22" i="1" s="1"/>
  <c r="C22" i="1" l="1"/>
  <c r="E22" i="1"/>
  <c r="D22" i="1"/>
</calcChain>
</file>

<file path=xl/sharedStrings.xml><?xml version="1.0" encoding="utf-8"?>
<sst xmlns="http://schemas.openxmlformats.org/spreadsheetml/2006/main" count="19" uniqueCount="19">
  <si>
    <t>Income</t>
  </si>
  <si>
    <t>Expenditure</t>
  </si>
  <si>
    <t>FY 21-22</t>
  </si>
  <si>
    <t>FY 22-23</t>
  </si>
  <si>
    <t>FY 23-24</t>
  </si>
  <si>
    <t>FY 24-25</t>
  </si>
  <si>
    <t>Particulars</t>
  </si>
  <si>
    <t>General Donations</t>
  </si>
  <si>
    <t>Monetization Income from youtube</t>
  </si>
  <si>
    <t>Surplus</t>
  </si>
  <si>
    <t>Bank Charges</t>
  </si>
  <si>
    <t>Advertisment, promotion and publicity</t>
  </si>
  <si>
    <t>App and Website Expenses</t>
  </si>
  <si>
    <t>Educational Assistance to Students</t>
  </si>
  <si>
    <t>Audit fees</t>
  </si>
  <si>
    <t>Office Expenses Misc Etc.</t>
  </si>
  <si>
    <t>Fees paid to tutors</t>
  </si>
  <si>
    <t>Legal, Accounting and Incorporation expenses</t>
  </si>
  <si>
    <t>Abstract of Income and Expenditure since Incorporation of Trust till last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</si>
</sst>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2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43" fontId="7" fillId="2" borderId="5" xfId="1" applyFont="1" applyFill="1" applyBorder="1" applyAlignment="1">
      <alignment horizontal="center"/>
    </xf>
    <xf numFmtId="43" fontId="7" fillId="2" borderId="6" xfId="1" applyFont="1" applyFill="1" applyBorder="1" applyAlignment="1">
      <alignment horizontal="center"/>
    </xf>
    <xf numFmtId="43" fontId="7" fillId="2" borderId="7" xfId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CEFA-47E8-490A-8FE6-29FBF69270E4}">
  <dimension ref="A1:G22"/>
  <sheetViews>
    <sheetView tabSelected="1" workbookViewId="0">
      <selection activeCell="I8" sqref="I8"/>
    </sheetView>
  </sheetViews>
  <sheetFormatPr defaultRowHeight="15" x14ac:dyDescent="0.2"/>
  <cols>
    <col min="1" max="1" width="45.7109375" style="7" bestFit="1" customWidth="1"/>
    <col min="2" max="3" width="15.140625" style="5" customWidth="1"/>
    <col min="4" max="4" width="14.28515625" style="5" bestFit="1" customWidth="1"/>
    <col min="5" max="5" width="15.42578125" style="5" customWidth="1"/>
    <col min="6" max="6" width="9.140625" style="2"/>
    <col min="7" max="7" width="14.140625" style="2" bestFit="1" customWidth="1"/>
    <col min="8" max="16384" width="9.140625" style="2"/>
  </cols>
  <sheetData>
    <row r="1" spans="1:7" ht="20.25" x14ac:dyDescent="0.3">
      <c r="A1" s="17" t="s">
        <v>18</v>
      </c>
      <c r="B1" s="17"/>
      <c r="C1" s="17"/>
      <c r="D1" s="17"/>
      <c r="E1" s="17"/>
    </row>
    <row r="2" spans="1:7" x14ac:dyDescent="0.2">
      <c r="A2" s="8" t="s">
        <v>6</v>
      </c>
      <c r="B2" s="9" t="s">
        <v>2</v>
      </c>
      <c r="C2" s="9" t="s">
        <v>3</v>
      </c>
      <c r="D2" s="9" t="s">
        <v>4</v>
      </c>
      <c r="E2" s="9" t="s">
        <v>5</v>
      </c>
    </row>
    <row r="3" spans="1:7" x14ac:dyDescent="0.2">
      <c r="A3" s="2"/>
      <c r="B3" s="4"/>
      <c r="C3" s="4"/>
      <c r="D3" s="4"/>
      <c r="E3" s="4"/>
    </row>
    <row r="4" spans="1:7" x14ac:dyDescent="0.2">
      <c r="A4" s="8" t="s">
        <v>0</v>
      </c>
      <c r="B4" s="4"/>
      <c r="C4" s="4"/>
      <c r="D4" s="4"/>
      <c r="E4" s="4"/>
    </row>
    <row r="5" spans="1:7" x14ac:dyDescent="0.2">
      <c r="A5" s="6" t="s">
        <v>7</v>
      </c>
      <c r="B5" s="10">
        <v>35937</v>
      </c>
      <c r="C5" s="10">
        <v>126206</v>
      </c>
      <c r="D5" s="10">
        <v>359116</v>
      </c>
      <c r="E5" s="10">
        <v>71237</v>
      </c>
    </row>
    <row r="6" spans="1:7" x14ac:dyDescent="0.2">
      <c r="A6" s="6" t="s">
        <v>8</v>
      </c>
      <c r="B6" s="10">
        <v>76550</v>
      </c>
      <c r="C6" s="10">
        <v>123001</v>
      </c>
      <c r="D6" s="10">
        <v>93305</v>
      </c>
      <c r="E6" s="10">
        <v>79403</v>
      </c>
    </row>
    <row r="7" spans="1:7" ht="15.75" thickBot="1" x14ac:dyDescent="0.25">
      <c r="A7" s="6"/>
      <c r="B7" s="12"/>
      <c r="C7" s="12"/>
      <c r="D7" s="12"/>
      <c r="E7" s="12"/>
    </row>
    <row r="8" spans="1:7" ht="16.5" thickBot="1" x14ac:dyDescent="0.3">
      <c r="A8" s="11"/>
      <c r="B8" s="14">
        <f>B5+B6</f>
        <v>112487</v>
      </c>
      <c r="C8" s="15">
        <f t="shared" ref="C8:E8" si="0">C5+C6</f>
        <v>249207</v>
      </c>
      <c r="D8" s="15">
        <f t="shared" si="0"/>
        <v>452421</v>
      </c>
      <c r="E8" s="16">
        <f t="shared" si="0"/>
        <v>150640</v>
      </c>
    </row>
    <row r="9" spans="1:7" x14ac:dyDescent="0.2">
      <c r="A9" s="6"/>
      <c r="B9" s="13"/>
      <c r="C9" s="13"/>
      <c r="D9" s="13"/>
      <c r="E9" s="13"/>
    </row>
    <row r="10" spans="1:7" x14ac:dyDescent="0.2">
      <c r="A10" s="8" t="s">
        <v>1</v>
      </c>
      <c r="B10" s="10"/>
      <c r="C10" s="10"/>
      <c r="D10" s="10"/>
      <c r="E10" s="10"/>
      <c r="G10" s="3"/>
    </row>
    <row r="11" spans="1:7" x14ac:dyDescent="0.2">
      <c r="A11" s="1" t="s">
        <v>10</v>
      </c>
      <c r="B11" s="10">
        <v>194</v>
      </c>
      <c r="C11" s="10">
        <v>356</v>
      </c>
      <c r="D11" s="10">
        <v>614</v>
      </c>
      <c r="E11" s="10">
        <v>14</v>
      </c>
    </row>
    <row r="12" spans="1:7" x14ac:dyDescent="0.2">
      <c r="A12" s="1" t="s">
        <v>16</v>
      </c>
      <c r="B12" s="10">
        <v>57200</v>
      </c>
      <c r="C12" s="10">
        <v>53500</v>
      </c>
      <c r="D12" s="10">
        <v>320000</v>
      </c>
      <c r="E12" s="10">
        <v>0</v>
      </c>
    </row>
    <row r="13" spans="1:7" x14ac:dyDescent="0.2">
      <c r="A13" s="1" t="s">
        <v>11</v>
      </c>
      <c r="B13" s="10">
        <v>3510</v>
      </c>
      <c r="C13" s="10">
        <v>0</v>
      </c>
      <c r="D13" s="10">
        <v>0</v>
      </c>
      <c r="E13" s="10">
        <v>0</v>
      </c>
    </row>
    <row r="14" spans="1:7" x14ac:dyDescent="0.2">
      <c r="A14" s="1" t="s">
        <v>12</v>
      </c>
      <c r="B14" s="10">
        <v>2500</v>
      </c>
      <c r="C14" s="10">
        <f>11500+3000</f>
        <v>14500</v>
      </c>
      <c r="D14" s="10">
        <v>0</v>
      </c>
      <c r="E14" s="10">
        <v>0</v>
      </c>
    </row>
    <row r="15" spans="1:7" x14ac:dyDescent="0.2">
      <c r="A15" s="1" t="s">
        <v>17</v>
      </c>
      <c r="B15" s="10">
        <v>20000</v>
      </c>
      <c r="C15" s="10">
        <v>5000</v>
      </c>
      <c r="D15" s="10">
        <v>0</v>
      </c>
      <c r="E15" s="10">
        <v>21500</v>
      </c>
    </row>
    <row r="16" spans="1:7" x14ac:dyDescent="0.2">
      <c r="A16" s="1" t="s">
        <v>13</v>
      </c>
      <c r="B16" s="10">
        <v>24000</v>
      </c>
      <c r="C16" s="10">
        <f>158000+3650</f>
        <v>161650</v>
      </c>
      <c r="D16" s="10">
        <v>118000</v>
      </c>
      <c r="E16" s="10">
        <v>117000</v>
      </c>
    </row>
    <row r="17" spans="1:5" x14ac:dyDescent="0.2">
      <c r="A17" s="1" t="s">
        <v>14</v>
      </c>
      <c r="B17" s="10">
        <v>2500</v>
      </c>
      <c r="C17" s="10">
        <v>12000</v>
      </c>
      <c r="D17" s="10">
        <v>12000</v>
      </c>
      <c r="E17" s="10">
        <v>12000</v>
      </c>
    </row>
    <row r="18" spans="1:5" x14ac:dyDescent="0.2">
      <c r="A18" s="1" t="s">
        <v>15</v>
      </c>
      <c r="B18" s="10">
        <v>1350</v>
      </c>
      <c r="C18" s="10">
        <v>0</v>
      </c>
      <c r="D18" s="10">
        <v>0</v>
      </c>
      <c r="E18" s="10">
        <v>0</v>
      </c>
    </row>
    <row r="19" spans="1:5" ht="15.75" thickBot="1" x14ac:dyDescent="0.25">
      <c r="A19" s="6"/>
      <c r="B19" s="10"/>
      <c r="C19" s="10"/>
      <c r="D19" s="10"/>
      <c r="E19" s="10"/>
    </row>
    <row r="20" spans="1:5" ht="16.5" thickBot="1" x14ac:dyDescent="0.3">
      <c r="A20" s="6"/>
      <c r="B20" s="14">
        <f>SUM(B11:B18)</f>
        <v>111254</v>
      </c>
      <c r="C20" s="14">
        <f t="shared" ref="C20:E20" si="1">SUM(C11:C18)</f>
        <v>247006</v>
      </c>
      <c r="D20" s="14">
        <f t="shared" si="1"/>
        <v>450614</v>
      </c>
      <c r="E20" s="14">
        <f t="shared" si="1"/>
        <v>150514</v>
      </c>
    </row>
    <row r="21" spans="1:5" ht="15.75" thickBot="1" x14ac:dyDescent="0.25">
      <c r="A21" s="6"/>
      <c r="B21" s="10"/>
      <c r="C21" s="10"/>
      <c r="D21" s="10"/>
      <c r="E21" s="10"/>
    </row>
    <row r="22" spans="1:5" ht="16.5" thickBot="1" x14ac:dyDescent="0.3">
      <c r="A22" s="8" t="s">
        <v>9</v>
      </c>
      <c r="B22" s="14">
        <f>B8-B20</f>
        <v>1233</v>
      </c>
      <c r="C22" s="14">
        <f t="shared" ref="C22:E22" si="2">C8-C20</f>
        <v>2201</v>
      </c>
      <c r="D22" s="14">
        <f t="shared" si="2"/>
        <v>1807</v>
      </c>
      <c r="E22" s="14">
        <f t="shared" si="2"/>
        <v>126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2025-12-09T14:45:06Z</dcterms:created>
  <dcterms:modified xsi:type="dcterms:W3CDTF">2025-12-10T18:06:41Z</dcterms:modified>
</cp:coreProperties>
</file>